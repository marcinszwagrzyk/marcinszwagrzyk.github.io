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Pomieszczenie</t>
        </is>
      </c>
      <c r="B1" t="inlineStr">
        <is>
          <t>Długość (m)</t>
        </is>
      </c>
      <c r="C1" t="inlineStr">
        <is>
          <t>Szerokość (m)</t>
        </is>
      </c>
      <c r="D1" t="inlineStr">
        <is>
          <t>Wysokość (m)</t>
        </is>
      </c>
      <c r="E1" t="inlineStr">
        <is>
          <t>Liczba drzwi</t>
        </is>
      </c>
      <c r="F1" t="inlineStr">
        <is>
          <t>Liczba okien</t>
        </is>
      </c>
      <c r="G1" t="inlineStr">
        <is>
          <t>Szafa (m²)</t>
        </is>
      </c>
      <c r="H1" t="inlineStr">
        <is>
          <t>Ilość malowanych ścian</t>
        </is>
      </c>
      <c r="I1" t="inlineStr">
        <is>
          <t>Powierzchnie poszczególnych ścian (m²)</t>
        </is>
      </c>
      <c r="J1" t="inlineStr">
        <is>
          <t>Otwory (m²)</t>
        </is>
      </c>
      <c r="K1" t="inlineStr">
        <is>
          <t>Ściana po odjęciu otworów i szaf (m²)</t>
        </is>
      </c>
      <c r="L1" t="inlineStr">
        <is>
          <t>Ściany 2 warstwy (m²)</t>
        </is>
      </c>
      <c r="M1" t="inlineStr">
        <is>
          <t>Sufit (m²)</t>
        </is>
      </c>
      <c r="N1" t="inlineStr">
        <is>
          <t>Sufit 2 warstwy (m²)</t>
        </is>
      </c>
      <c r="O1" t="inlineStr">
        <is>
          <t>Farba ściany (l)</t>
        </is>
      </c>
      <c r="P1" t="inlineStr">
        <is>
          <t>Farba sufit (l)</t>
        </is>
      </c>
    </row>
    <row r="2">
      <c r="A2" t="inlineStr">
        <is>
          <t>Sypialnia</t>
        </is>
      </c>
      <c r="B2" t="n">
        <v>4</v>
      </c>
      <c r="C2" t="n">
        <v>3</v>
      </c>
      <c r="D2" t="n">
        <v>2.6</v>
      </c>
      <c r="E2" t="n">
        <v>1</v>
      </c>
      <c r="F2" t="n">
        <v>1</v>
      </c>
      <c r="G2" t="n">
        <v>3.6</v>
      </c>
      <c r="H2" t="n">
        <v>3</v>
      </c>
      <c r="I2">
        <f>4*D2+3*D2+3*D2</f>
        <v/>
      </c>
      <c r="J2">
        <f>1*2 + 1*2</f>
        <v/>
      </c>
      <c r="K2">
        <f>I2-J2-G2</f>
        <v/>
      </c>
      <c r="L2">
        <f>K2*2</f>
        <v/>
      </c>
      <c r="M2">
        <f>B2*C2</f>
        <v/>
      </c>
      <c r="N2">
        <f>M2*2</f>
        <v/>
      </c>
      <c r="O2">
        <f>L2/10</f>
        <v/>
      </c>
      <c r="P2">
        <f>N2/10</f>
        <v/>
      </c>
    </row>
    <row r="3">
      <c r="A3" t="inlineStr">
        <is>
          <t>Przedsionek</t>
        </is>
      </c>
      <c r="B3" t="n">
        <v>2.1</v>
      </c>
      <c r="C3" t="n">
        <v>2.1</v>
      </c>
      <c r="D3" t="n">
        <v>2.6</v>
      </c>
      <c r="E3" t="n">
        <v>2</v>
      </c>
      <c r="F3" t="n">
        <v>0</v>
      </c>
      <c r="G3" t="n">
        <v>4.6</v>
      </c>
      <c r="H3" t="n">
        <v>3</v>
      </c>
      <c r="I3">
        <f>2.1*D3+2.1*D3+2.1*D3</f>
        <v/>
      </c>
      <c r="J3">
        <f>2*2 + 0*2</f>
        <v/>
      </c>
      <c r="K3">
        <f>I3-J3-G3</f>
        <v/>
      </c>
      <c r="L3">
        <f>K3*2</f>
        <v/>
      </c>
      <c r="M3">
        <f>B3*C3</f>
        <v/>
      </c>
      <c r="N3">
        <f>M3*2</f>
        <v/>
      </c>
      <c r="O3">
        <f>L3/10</f>
        <v/>
      </c>
      <c r="P3">
        <f>N3/10</f>
        <v/>
      </c>
    </row>
    <row r="4">
      <c r="A4" t="inlineStr">
        <is>
          <t>Salon</t>
        </is>
      </c>
      <c r="B4" t="n">
        <v>6</v>
      </c>
      <c r="C4" t="n">
        <v>3.1</v>
      </c>
      <c r="D4" t="n">
        <v>2.6</v>
      </c>
      <c r="E4" t="n">
        <v>2</v>
      </c>
      <c r="F4" t="n">
        <v>1</v>
      </c>
      <c r="G4" t="n">
        <v>0</v>
      </c>
      <c r="H4" t="n">
        <v>2</v>
      </c>
      <c r="I4">
        <f>6*D4+3.1*D4</f>
        <v/>
      </c>
      <c r="J4">
        <f>2*2 + 1*2</f>
        <v/>
      </c>
      <c r="K4">
        <f>I4-J4-G4</f>
        <v/>
      </c>
      <c r="L4">
        <f>K4*2</f>
        <v/>
      </c>
      <c r="M4">
        <f>B4*C4</f>
        <v/>
      </c>
      <c r="N4">
        <f>M4*2</f>
        <v/>
      </c>
      <c r="O4">
        <f>L4/10</f>
        <v/>
      </c>
      <c r="P4">
        <f>N4/10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2026-03-13T16:53:22Z</dcterms:created>
  <dcterms:modified xsi:type="dcterms:W3CDTF">2026-03-13T16:53:22Z</dcterms:modified>
</cp:coreProperties>
</file>