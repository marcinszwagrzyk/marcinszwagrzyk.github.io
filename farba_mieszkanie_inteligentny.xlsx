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Pomieszczenie</t>
        </is>
      </c>
      <c r="B1" t="inlineStr">
        <is>
          <t>Długość (m)</t>
        </is>
      </c>
      <c r="C1" t="inlineStr">
        <is>
          <t>Szerokość (m)</t>
        </is>
      </c>
      <c r="D1" t="inlineStr">
        <is>
          <t>Wysokość (m)</t>
        </is>
      </c>
      <c r="E1" t="inlineStr">
        <is>
          <t>Liczba drzwi</t>
        </is>
      </c>
      <c r="F1" t="inlineStr">
        <is>
          <t>Liczba okien</t>
        </is>
      </c>
      <c r="G1" t="inlineStr">
        <is>
          <t>Szafa (%)</t>
        </is>
      </c>
      <c r="H1" t="inlineStr">
        <is>
          <t>Ilość ścian do malowania</t>
        </is>
      </c>
      <c r="I1" t="inlineStr">
        <is>
          <t>Ściany surowe (m²)</t>
        </is>
      </c>
      <c r="J1" t="inlineStr">
        <is>
          <t>Odejmowane otwory (m²)</t>
        </is>
      </c>
      <c r="K1" t="inlineStr">
        <is>
          <t>Odejmowana szafa (m²)</t>
        </is>
      </c>
      <c r="L1" t="inlineStr">
        <is>
          <t>Ściany do malowania (m²)</t>
        </is>
      </c>
      <c r="M1" t="inlineStr">
        <is>
          <t>Ściany 2 warstwy (m²)</t>
        </is>
      </c>
      <c r="N1" t="inlineStr">
        <is>
          <t>Sufit (m²)</t>
        </is>
      </c>
      <c r="O1" t="inlineStr">
        <is>
          <t>Sufit 2 warstwy (m²)</t>
        </is>
      </c>
      <c r="P1" t="inlineStr">
        <is>
          <t>Farba ściany (l)</t>
        </is>
      </c>
      <c r="Q1" t="inlineStr">
        <is>
          <t>Farba sufit (l)</t>
        </is>
      </c>
    </row>
    <row r="2">
      <c r="A2" t="inlineStr">
        <is>
          <t>Sypialnia</t>
        </is>
      </c>
      <c r="B2" t="n">
        <v>4</v>
      </c>
      <c r="C2" t="n">
        <v>3</v>
      </c>
      <c r="D2" t="n">
        <v>2.6</v>
      </c>
      <c r="E2" t="n">
        <v>1</v>
      </c>
      <c r="F2" t="n">
        <v>1</v>
      </c>
      <c r="G2" t="n">
        <v>0.5</v>
      </c>
      <c r="H2" t="n">
        <v>4</v>
      </c>
      <c r="I2">
        <f>H2*D2*(B2+C2)</f>
        <v/>
      </c>
      <c r="J2">
        <f>E2*2 + F2*2</f>
        <v/>
      </c>
      <c r="K2">
        <f>G2*D2*MAX(B2,C2)</f>
        <v/>
      </c>
      <c r="L2">
        <f>I2-J2-K2</f>
        <v/>
      </c>
      <c r="M2">
        <f>L2*2</f>
        <v/>
      </c>
      <c r="N2">
        <f>B2*C2</f>
        <v/>
      </c>
      <c r="O2">
        <f>N2*2</f>
        <v/>
      </c>
      <c r="P2">
        <f>M2/10</f>
        <v/>
      </c>
      <c r="Q2">
        <f>O2/10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2026-03-13T16:36:44Z</dcterms:created>
  <dcterms:modified xsi:type="dcterms:W3CDTF">2026-03-13T16:36:44Z</dcterms:modified>
</cp:coreProperties>
</file>